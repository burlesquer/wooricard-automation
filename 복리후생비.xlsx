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0" yWindow="4752" windowWidth="23040" windowHeight="12168" activeTab="5"/>
  </bookViews>
  <sheets>
    <sheet sheetId="1" name="2025년 11월" state="visible" r:id="rId4"/>
    <sheet sheetId="2" name="2025년 12월" state="visible" r:id="rId5"/>
    <sheet sheetId="3" name="2026년 1월" state="visible" r:id="rId6"/>
    <sheet sheetId="4" name="2026년 2월" state="visible" r:id="rId7"/>
    <sheet sheetId="5" name="2026년 3월" state="visible" r:id="rId8"/>
    <sheet sheetId="6" name="2026년 4월" state="visible" r:id="rId9"/>
    <sheet sheetId="7" name="2026년 5월" state="visible" r:id="rId10"/>
  </sheets>
  <calcPr calcId="171027"/>
</workbook>
</file>

<file path=xl/sharedStrings.xml><?xml version="1.0" encoding="utf-8"?>
<sst xmlns="http://schemas.openxmlformats.org/spreadsheetml/2006/main" count="332" uniqueCount="64">
  <si>
    <t>부서별 복리후생비 관리대장</t>
  </si>
  <si>
    <t>** 복리후생비 내역관리(내부 복리후생비 관리용)</t>
  </si>
  <si>
    <t>담당자</t>
  </si>
  <si>
    <t>박성준</t>
  </si>
  <si>
    <t>11월</t>
  </si>
  <si>
    <t>카드번호</t>
  </si>
  <si>
    <t>부서명</t>
  </si>
  <si>
    <t>팀명</t>
  </si>
  <si>
    <t>이름</t>
  </si>
  <si>
    <t>한도금액</t>
  </si>
  <si>
    <t>전월잔액</t>
  </si>
  <si>
    <t>사용가능금액</t>
  </si>
  <si>
    <t>사용금액</t>
  </si>
  <si>
    <t>누적잔액</t>
  </si>
  <si>
    <t>비고</t>
  </si>
  <si>
    <t>본인 확인</t>
  </si>
  <si>
    <t>5532-2400-1309-2679</t>
  </si>
  <si>
    <t>텝섹</t>
  </si>
  <si>
    <t>보안연구소</t>
  </si>
  <si>
    <t>2025년 11월 박성준</t>
  </si>
  <si>
    <t>5532-2400-1076-5426</t>
  </si>
  <si>
    <t>김민혁</t>
  </si>
  <si>
    <t>2025년 11월 김민혁</t>
  </si>
  <si>
    <t>5532-2400-1846-8387</t>
  </si>
  <si>
    <t>바기</t>
  </si>
  <si>
    <t>2025년 11월 바기</t>
  </si>
  <si>
    <t>5532-2400-1467-4913</t>
  </si>
  <si>
    <t>임동건</t>
  </si>
  <si>
    <t>2025년 11월 임동건</t>
  </si>
  <si>
    <t>5532-2400-1898-9549</t>
  </si>
  <si>
    <t>최한솔</t>
  </si>
  <si>
    <t>2025년 11월 최한솔</t>
  </si>
  <si>
    <t>5532-2400-1939-7791</t>
  </si>
  <si>
    <t>최현서</t>
  </si>
  <si>
    <t>2025년 11월 최현서</t>
  </si>
  <si>
    <t>5532-2400-1636-5783</t>
  </si>
  <si>
    <t>김진경</t>
  </si>
  <si>
    <t>실제 잔액</t>
  </si>
  <si>
    <t>2025년 11월 김진경</t>
  </si>
  <si>
    <t>합계</t>
  </si>
  <si>
    <t>12월</t>
  </si>
  <si>
    <t>2025년 12월 박성준</t>
  </si>
  <si>
    <t>2025년 12월 김민혁</t>
  </si>
  <si>
    <t>2025년 12월 바기</t>
  </si>
  <si>
    <t>2025년 12월 임동건</t>
  </si>
  <si>
    <t>2025년 12월 최한솔</t>
  </si>
  <si>
    <t>2025년 12월 최현서</t>
  </si>
  <si>
    <t>2025년 12월 김진경</t>
  </si>
  <si>
    <t>1월</t>
  </si>
  <si>
    <t>2026년 1월 박성준</t>
  </si>
  <si>
    <t>2026년 1월 김민혁</t>
  </si>
  <si>
    <t>2026년 1월 바기</t>
  </si>
  <si>
    <t>2026년 1월 임동건</t>
  </si>
  <si>
    <t>1/1~1/7 사용 내역 부서이동</t>
  </si>
  <si>
    <t>2026년 1월 최한솔</t>
  </si>
  <si>
    <t>2026년 1월 최현서</t>
  </si>
  <si>
    <t>2026년 1월 김진경</t>
  </si>
  <si>
    <t>2월</t>
  </si>
  <si>
    <t>2026년 2월 박성준</t>
  </si>
  <si>
    <t>2026년 2월 김민혁</t>
  </si>
  <si>
    <t>2026년 2월 바기</t>
  </si>
  <si>
    <t>2026년 2월 임동건</t>
  </si>
  <si>
    <t>3월</t>
  </si>
  <si>
    <t>4월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</si>
</sst>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harset val="129"/>
      <color rgb="FF000000"/>
      <family val="3"/>
      <sz val="10"/>
      <name val="&quot;\&quot;맑은 고딕\&quot;&quot;"/>
    </font>
    <font>
      <color rgb="FF000000"/>
      <family val="2"/>
      <sz val="10"/>
      <name val="Arial"/>
    </font>
    <font>
      <b/>
      <charset val="129"/>
      <color rgb="FF000000"/>
      <family val="3"/>
      <sz val="15"/>
      <name val="&quot;\&quot;맑은 고딕\&quot;&quot;"/>
    </font>
    <font>
      <color rgb="FF000000"/>
      <family val="2"/>
      <scheme val="minor"/>
      <sz val="10"/>
      <name val="Arial"/>
    </font>
    <font>
      <b/>
      <charset val="129"/>
      <color rgb="FF5B9BD5"/>
      <family val="3"/>
      <sz val="10"/>
      <name val="&quot;\&quot;맑은 고딕\&quot;&quot;"/>
    </font>
    <font>
      <b/>
      <charset val="129"/>
      <color rgb="FFFFFFFF"/>
      <family val="3"/>
      <sz val="10"/>
      <name val="&quot;\&quot;맑은 고딕\&quot;&quot;"/>
    </font>
    <font>
      <b/>
      <charset val="129"/>
      <color rgb="FF000000"/>
      <family val="3"/>
      <sz val="10"/>
      <name val="&quot;\&quot;맑은 고딕\&quot;&quot;"/>
    </font>
    <font>
      <b/>
      <i/>
      <color rgb="FF000000"/>
      <family val="2"/>
      <sz val="10"/>
      <name val="Arial"/>
    </font>
    <font>
      <i/>
      <color rgb="FF000000"/>
      <family val="2"/>
      <sz val="10"/>
      <name val="Arial"/>
    </font>
    <font>
      <b/>
      <i/>
      <color theme="1"/>
      <family val="2"/>
      <sz val="10"/>
      <name val="Arial"/>
    </font>
    <font>
      <charset val="129"/>
      <color rgb="FF000000"/>
      <family val="3"/>
      <sz val="11"/>
      <name val="&quot;\&quot;맑은 고딕\&quot;&quot;"/>
    </font>
    <font>
      <color theme="1"/>
      <family val="2"/>
      <scheme val="minor"/>
      <sz val="10"/>
      <name val="Arial"/>
    </font>
    <font>
      <charset val="129"/>
      <color rgb="FF000000"/>
      <family val="3"/>
      <sz val="10"/>
      <name val="&quot;\0022\\\0022맑은 고딕\\\0022\0022&quot;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D0CECE"/>
        <bgColor rgb="FFD0CECE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5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3" fontId="1" fillId="0" borderId="4" xfId="0" applyNumberFormat="1" applyFont="1" applyBorder="1" applyAlignment="1">
      <alignment horizontal="right"/>
    </xf>
    <xf numFmtId="0" fontId="1" fillId="5" borderId="4" xfId="0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right"/>
    </xf>
    <xf numFmtId="3" fontId="1" fillId="5" borderId="4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left"/>
    </xf>
    <xf numFmtId="0" fontId="8" fillId="0" borderId="0" xfId="0" applyFont="1" applyAlignment="1">
      <alignment horizontal="right"/>
    </xf>
    <xf numFmtId="0" fontId="10" fillId="0" borderId="5" xfId="0" applyFont="1" applyBorder="1" applyAlignment="1">
      <alignment horizontal="right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3" fontId="7" fillId="3" borderId="6" xfId="0" applyNumberFormat="1" applyFont="1" applyFill="1" applyBorder="1" applyAlignment="1">
      <alignment horizontal="right"/>
    </xf>
    <xf numFmtId="3" fontId="7" fillId="3" borderId="4" xfId="0" applyNumberFormat="1" applyFont="1" applyFill="1" applyBorder="1" applyAlignment="1">
      <alignment horizontal="right"/>
    </xf>
    <xf numFmtId="0" fontId="7" fillId="3" borderId="4" xfId="0" applyFont="1" applyFill="1" applyBorder="1"/>
    <xf numFmtId="3" fontId="10" fillId="6" borderId="4" xfId="0" applyNumberFormat="1" applyFont="1" applyFill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5" borderId="4" xfId="0" applyFont="1" applyFill="1" applyBorder="1" applyAlignment="1">
      <alignment horizontal="left"/>
    </xf>
    <xf numFmtId="3" fontId="13" fillId="5" borderId="4" xfId="0" applyNumberFormat="1" applyFont="1" applyFill="1" applyBorder="1" applyAlignment="1">
      <alignment horizontal="center"/>
    </xf>
    <xf numFmtId="3" fontId="10" fillId="6" borderId="3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9"/>
  <sheetViews>
    <sheetView workbookViewId="0" zoomScale="100" zoomScaleNormal="100">
      <selection activeCell="L23" sqref="L23"/>
    </sheetView>
  </sheetViews>
  <sheetFormatPr defaultRowHeight="15.75" outlineLevelRow="0" outlineLevelCol="0" x14ac:dyDescent="0" defaultColWidth="12.69921875" customHeight="1"/>
  <cols>
    <col min="3" max="3" width="17.3984375" customWidth="1"/>
    <col min="15" max="15" width="16.19921875" customWidth="1"/>
  </cols>
  <sheetData>
    <row r="1" ht="13.8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15.75" customHeight="1" spans="1:15" x14ac:dyDescent="0.25">
      <c r="A2" s="3"/>
      <c r="B2" s="3" t="s">
        <v>0</v>
      </c>
      <c r="C2" s="4"/>
      <c r="D2" s="4"/>
      <c r="E2" s="3"/>
      <c r="F2" s="3"/>
      <c r="G2" s="3"/>
      <c r="H2" s="3"/>
      <c r="I2" s="5"/>
      <c r="J2" s="3"/>
      <c r="K2" s="3"/>
      <c r="L2" s="3"/>
      <c r="M2" s="2"/>
      <c r="N2" s="2"/>
      <c r="O2" s="2"/>
    </row>
    <row r="3" ht="13.8" customHeight="1" spans="1:15" x14ac:dyDescent="0.25">
      <c r="A3" s="6"/>
      <c r="B3" s="6" t="s">
        <v>1</v>
      </c>
      <c r="C3" s="4"/>
      <c r="D3" s="4"/>
      <c r="E3" s="4"/>
      <c r="F3" s="6"/>
      <c r="G3" s="6"/>
      <c r="H3" s="6"/>
      <c r="I3" s="6"/>
      <c r="J3" s="6"/>
      <c r="K3" s="6"/>
      <c r="L3" s="6"/>
      <c r="M3" s="2"/>
      <c r="N3" s="2"/>
      <c r="O3" s="2"/>
    </row>
    <row r="4" ht="13.8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</row>
    <row r="5" ht="13.8" customHeight="1" spans="1:15" x14ac:dyDescent="0.25">
      <c r="A5" s="1"/>
      <c r="B5" s="7" t="s">
        <v>2</v>
      </c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</row>
    <row r="6" ht="13.8" customHeight="1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</row>
    <row r="7" ht="13.8" customHeight="1" spans="1:15" x14ac:dyDescent="0.25">
      <c r="A7" s="1"/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2"/>
      <c r="N7" s="2"/>
      <c r="O7" s="10" t="s">
        <v>15</v>
      </c>
    </row>
    <row r="8" ht="13.8" customHeight="1" spans="1:15" x14ac:dyDescent="0.25">
      <c r="A8" s="1"/>
      <c r="B8" s="8" t="s">
        <v>4</v>
      </c>
      <c r="C8" s="11" t="s">
        <v>16</v>
      </c>
      <c r="D8" s="11" t="s">
        <v>17</v>
      </c>
      <c r="E8" s="11" t="s">
        <v>18</v>
      </c>
      <c r="F8" s="11" t="s">
        <v>3</v>
      </c>
      <c r="G8" s="12">
        <v>300000</v>
      </c>
      <c r="H8" s="13">
        <v>0</v>
      </c>
      <c r="I8" s="13">
        <f t="shared" ref="I8:I14" si="0">G8+H8</f>
        <v>300000</v>
      </c>
      <c r="J8" s="13">
        <v>184900</v>
      </c>
      <c r="K8" s="13">
        <f t="shared" ref="K8:K14" si="1">I8-J8</f>
        <v>115100</v>
      </c>
      <c r="L8" s="14"/>
      <c r="M8" s="2"/>
      <c r="N8" s="2"/>
      <c r="O8" s="15" t="s">
        <v>19</v>
      </c>
    </row>
    <row r="9" ht="13.8" customHeight="1" spans="1:15" x14ac:dyDescent="0.25">
      <c r="A9" s="1"/>
      <c r="B9" s="8" t="s">
        <v>4</v>
      </c>
      <c r="C9" s="11" t="s">
        <v>20</v>
      </c>
      <c r="D9" s="11" t="s">
        <v>17</v>
      </c>
      <c r="E9" s="11" t="s">
        <v>18</v>
      </c>
      <c r="F9" s="11" t="s">
        <v>21</v>
      </c>
      <c r="G9" s="16">
        <v>300000</v>
      </c>
      <c r="H9" s="13">
        <v>0</v>
      </c>
      <c r="I9" s="13">
        <f t="shared" si="0"/>
        <v>300000</v>
      </c>
      <c r="J9" s="13">
        <v>147800</v>
      </c>
      <c r="K9" s="13">
        <f t="shared" si="1"/>
        <v>152200</v>
      </c>
      <c r="L9" s="14"/>
      <c r="M9" s="2"/>
      <c r="N9" s="2"/>
      <c r="O9" s="15" t="s">
        <v>22</v>
      </c>
    </row>
    <row r="10" ht="13.8" customHeight="1" spans="1:15" x14ac:dyDescent="0.25">
      <c r="A10" s="1"/>
      <c r="B10" s="8" t="s">
        <v>4</v>
      </c>
      <c r="C10" s="11" t="s">
        <v>23</v>
      </c>
      <c r="D10" s="11" t="s">
        <v>17</v>
      </c>
      <c r="E10" s="11" t="s">
        <v>18</v>
      </c>
      <c r="F10" s="11" t="s">
        <v>24</v>
      </c>
      <c r="G10" s="16">
        <v>300000</v>
      </c>
      <c r="H10" s="13">
        <v>0</v>
      </c>
      <c r="I10" s="13">
        <f t="shared" si="0"/>
        <v>300000</v>
      </c>
      <c r="J10" s="13">
        <v>287940</v>
      </c>
      <c r="K10" s="13">
        <f t="shared" si="1"/>
        <v>12060</v>
      </c>
      <c r="L10" s="14"/>
      <c r="M10" s="2"/>
      <c r="N10" s="2"/>
      <c r="O10" s="15" t="s">
        <v>25</v>
      </c>
    </row>
    <row r="11" ht="13.8" customHeight="1" spans="1:15" x14ac:dyDescent="0.25">
      <c r="A11" s="1"/>
      <c r="B11" s="8" t="s">
        <v>4</v>
      </c>
      <c r="C11" s="11" t="s">
        <v>26</v>
      </c>
      <c r="D11" s="17" t="s">
        <v>17</v>
      </c>
      <c r="E11" s="17" t="s">
        <v>18</v>
      </c>
      <c r="F11" s="17" t="s">
        <v>27</v>
      </c>
      <c r="G11" s="18">
        <v>300000</v>
      </c>
      <c r="H11" s="13">
        <v>0</v>
      </c>
      <c r="I11" s="13">
        <f t="shared" si="0"/>
        <v>300000</v>
      </c>
      <c r="J11" s="19">
        <v>158700</v>
      </c>
      <c r="K11" s="13">
        <f t="shared" si="1"/>
        <v>141300</v>
      </c>
      <c r="L11" s="20"/>
      <c r="M11" s="2"/>
      <c r="N11" s="2"/>
      <c r="O11" s="15" t="s">
        <v>28</v>
      </c>
    </row>
    <row r="12" ht="13.8" customHeight="1" spans="1:15" x14ac:dyDescent="0.25">
      <c r="A12" s="1"/>
      <c r="B12" s="8" t="s">
        <v>4</v>
      </c>
      <c r="C12" s="17" t="s">
        <v>29</v>
      </c>
      <c r="D12" s="17" t="s">
        <v>17</v>
      </c>
      <c r="E12" s="17" t="s">
        <v>18</v>
      </c>
      <c r="F12" s="17" t="s">
        <v>30</v>
      </c>
      <c r="G12" s="18">
        <v>300000</v>
      </c>
      <c r="H12" s="13">
        <v>0</v>
      </c>
      <c r="I12" s="13">
        <f t="shared" si="0"/>
        <v>300000</v>
      </c>
      <c r="J12" s="19">
        <v>212040</v>
      </c>
      <c r="K12" s="13">
        <f t="shared" si="1"/>
        <v>87960</v>
      </c>
      <c r="L12" s="20"/>
      <c r="M12" s="2"/>
      <c r="N12" s="2"/>
      <c r="O12" s="15" t="s">
        <v>31</v>
      </c>
    </row>
    <row r="13" ht="13.8" customHeight="1" spans="1:15" x14ac:dyDescent="0.25">
      <c r="A13" s="1"/>
      <c r="B13" s="8" t="s">
        <v>4</v>
      </c>
      <c r="C13" s="17" t="s">
        <v>32</v>
      </c>
      <c r="D13" s="17" t="s">
        <v>17</v>
      </c>
      <c r="E13" s="17" t="s">
        <v>18</v>
      </c>
      <c r="F13" s="17" t="s">
        <v>33</v>
      </c>
      <c r="G13" s="18">
        <v>300000</v>
      </c>
      <c r="H13" s="13">
        <v>0</v>
      </c>
      <c r="I13" s="13">
        <f t="shared" si="0"/>
        <v>300000</v>
      </c>
      <c r="J13" s="19">
        <v>298870</v>
      </c>
      <c r="K13" s="13">
        <f t="shared" si="1"/>
        <v>1130</v>
      </c>
      <c r="L13" s="20"/>
      <c r="M13" s="21"/>
      <c r="N13" s="2"/>
      <c r="O13" s="15" t="s">
        <v>34</v>
      </c>
    </row>
    <row r="14" ht="13.8" customHeight="1" spans="1:15" x14ac:dyDescent="0.25">
      <c r="A14" s="1"/>
      <c r="B14" s="8" t="s">
        <v>4</v>
      </c>
      <c r="C14" s="17" t="s">
        <v>35</v>
      </c>
      <c r="D14" s="17" t="s">
        <v>17</v>
      </c>
      <c r="E14" s="17" t="s">
        <v>18</v>
      </c>
      <c r="F14" s="17" t="s">
        <v>36</v>
      </c>
      <c r="G14" s="18">
        <v>300000</v>
      </c>
      <c r="H14" s="13">
        <v>0</v>
      </c>
      <c r="I14" s="13">
        <f t="shared" si="0"/>
        <v>300000</v>
      </c>
      <c r="J14" s="19">
        <v>253700</v>
      </c>
      <c r="K14" s="13">
        <f t="shared" si="1"/>
        <v>46300</v>
      </c>
      <c r="L14" s="20"/>
      <c r="M14" s="22" t="s">
        <v>37</v>
      </c>
      <c r="N14" s="2"/>
      <c r="O14" s="15" t="s">
        <v>38</v>
      </c>
    </row>
    <row r="15" ht="13.8" customHeight="1" spans="1:15" x14ac:dyDescent="0.25">
      <c r="A15" s="1"/>
      <c r="B15" s="23" t="s">
        <v>39</v>
      </c>
      <c r="C15" s="24"/>
      <c r="D15" s="24"/>
      <c r="E15" s="24"/>
      <c r="F15" s="24"/>
      <c r="G15" s="25">
        <f>SUM(G7:G14)</f>
        <v>2100000</v>
      </c>
      <c r="H15" s="26">
        <f>SUM(H8:H14)</f>
        <v>0</v>
      </c>
      <c r="I15" s="26">
        <f>SUM(I7:I14)</f>
        <v>2100000</v>
      </c>
      <c r="J15" s="26">
        <f t="shared" ref="J15:K15" si="2">SUM(J8:J14)</f>
        <v>1543950</v>
      </c>
      <c r="K15" s="26">
        <f t="shared" si="2"/>
        <v>556050</v>
      </c>
      <c r="L15" s="27"/>
      <c r="M15" s="28">
        <f>K15</f>
        <v>556050</v>
      </c>
      <c r="N15" s="2"/>
      <c r="O15" s="15"/>
    </row>
    <row r="16" ht="13.8" customHeight="1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  <c r="N16" s="2"/>
      <c r="O16" s="2"/>
    </row>
    <row r="17" ht="13.8" customHeight="1" spans="1:15" x14ac:dyDescent="0.25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2"/>
      <c r="N17" s="2"/>
      <c r="O17" s="2"/>
    </row>
    <row r="18" ht="13.8" customHeight="1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  <c r="N18" s="2"/>
      <c r="O18" s="2"/>
    </row>
    <row r="19" ht="13.8" customHeight="1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2"/>
      <c r="O19" s="2"/>
    </row>
    <row r="20" ht="13.8" customHeight="1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"/>
      <c r="N20" s="2"/>
      <c r="O20" s="2"/>
    </row>
    <row r="21" ht="14.4" customHeight="1" spans="1:15" x14ac:dyDescent="0.25">
      <c r="A21" s="29"/>
      <c r="B21" s="29"/>
      <c r="C21" s="29"/>
      <c r="D21" s="29"/>
      <c r="E21" s="29"/>
      <c r="F21" s="29"/>
      <c r="G21" s="29"/>
      <c r="H21" s="29"/>
      <c r="I21" s="1"/>
      <c r="J21" s="29"/>
      <c r="K21" s="29"/>
      <c r="L21" s="29"/>
      <c r="M21" s="2"/>
      <c r="N21" s="2"/>
      <c r="O21" s="2"/>
    </row>
    <row r="22" ht="14.4" customHeight="1" spans="1:1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"/>
      <c r="N22" s="2"/>
      <c r="O22" s="2"/>
    </row>
    <row r="23" ht="14.4" customHeight="1" spans="1:1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"/>
      <c r="N23" s="2"/>
      <c r="O23" s="2"/>
    </row>
    <row r="24" ht="14.4" customHeight="1" spans="1:1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"/>
      <c r="N24" s="2"/>
      <c r="O24" s="2"/>
    </row>
    <row r="25" ht="14.4" customHeight="1" spans="1:15" x14ac:dyDescent="0.25">
      <c r="A25" s="29"/>
      <c r="B25" s="29"/>
      <c r="C25" s="29"/>
      <c r="D25" s="29"/>
      <c r="E25" s="29"/>
      <c r="F25" s="29"/>
      <c r="G25" s="29"/>
      <c r="H25" s="29"/>
      <c r="I25" s="30"/>
      <c r="J25" s="29"/>
      <c r="K25" s="29"/>
      <c r="L25" s="29"/>
      <c r="M25" s="2"/>
      <c r="N25" s="2"/>
      <c r="O25" s="2"/>
    </row>
    <row r="26" ht="14.4" customHeight="1" spans="1:1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"/>
      <c r="N26" s="2"/>
      <c r="O26" s="2"/>
    </row>
    <row r="29" ht="13.2" customHeight="1" spans="15:15" x14ac:dyDescent="0.25">
      <c r="O29" s="31"/>
    </row>
  </sheetData>
  <mergeCells count="2">
    <mergeCell ref="B2:D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9"/>
  <sheetViews>
    <sheetView workbookViewId="0" zoomScale="100" zoomScaleNormal="100"/>
  </sheetViews>
  <sheetFormatPr defaultRowHeight="15.75" outlineLevelRow="0" outlineLevelCol="0" x14ac:dyDescent="0" defaultColWidth="12.69921875" customHeight="1"/>
  <cols>
    <col min="3" max="3" width="17.3984375" customWidth="1"/>
    <col min="15" max="15" width="16.19921875" customWidth="1"/>
  </cols>
  <sheetData>
    <row r="1" ht="13.8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15.75" customHeight="1" spans="1:15" x14ac:dyDescent="0.25">
      <c r="A2" s="3"/>
      <c r="B2" s="3" t="s">
        <v>0</v>
      </c>
      <c r="C2" s="4"/>
      <c r="D2" s="4"/>
      <c r="E2" s="3"/>
      <c r="F2" s="3"/>
      <c r="G2" s="3"/>
      <c r="H2" s="3"/>
      <c r="I2" s="5"/>
      <c r="J2" s="3"/>
      <c r="K2" s="3"/>
      <c r="L2" s="3"/>
      <c r="M2" s="2"/>
      <c r="N2" s="2"/>
      <c r="O2" s="2"/>
    </row>
    <row r="3" ht="13.8" customHeight="1" spans="1:15" x14ac:dyDescent="0.25">
      <c r="A3" s="6"/>
      <c r="B3" s="6" t="s">
        <v>1</v>
      </c>
      <c r="C3" s="4"/>
      <c r="D3" s="4"/>
      <c r="E3" s="4"/>
      <c r="F3" s="6"/>
      <c r="G3" s="6"/>
      <c r="H3" s="6"/>
      <c r="I3" s="6"/>
      <c r="J3" s="6"/>
      <c r="K3" s="6"/>
      <c r="L3" s="6"/>
      <c r="M3" s="2"/>
      <c r="N3" s="2"/>
      <c r="O3" s="2"/>
    </row>
    <row r="4" ht="13.8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</row>
    <row r="5" ht="13.8" customHeight="1" spans="1:15" x14ac:dyDescent="0.25">
      <c r="A5" s="1"/>
      <c r="B5" s="7" t="s">
        <v>2</v>
      </c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</row>
    <row r="6" ht="13.8" customHeight="1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</row>
    <row r="7" ht="13.8" customHeight="1" spans="1:15" x14ac:dyDescent="0.25">
      <c r="A7" s="1"/>
      <c r="B7" s="8" t="s">
        <v>40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2"/>
      <c r="N7" s="2"/>
      <c r="O7" s="10" t="s">
        <v>15</v>
      </c>
    </row>
    <row r="8" ht="13.8" customHeight="1" spans="1:15" x14ac:dyDescent="0.25">
      <c r="A8" s="1"/>
      <c r="B8" s="8" t="s">
        <v>40</v>
      </c>
      <c r="C8" s="11" t="s">
        <v>16</v>
      </c>
      <c r="D8" s="11" t="s">
        <v>17</v>
      </c>
      <c r="E8" s="11" t="s">
        <v>18</v>
      </c>
      <c r="F8" s="11" t="s">
        <v>3</v>
      </c>
      <c r="G8" s="12">
        <v>300000</v>
      </c>
      <c r="H8" s="13">
        <f>'2025년 11월'!K8</f>
        <v>115100</v>
      </c>
      <c r="I8" s="13">
        <f t="shared" ref="I8:I14" si="0">G8+H8</f>
        <v>415100</v>
      </c>
      <c r="J8" s="13">
        <v>365013</v>
      </c>
      <c r="K8" s="13">
        <f t="shared" ref="K8:K14" si="1">I8-J8</f>
        <v>50087</v>
      </c>
      <c r="L8" s="14"/>
      <c r="M8" s="2"/>
      <c r="N8" s="2"/>
      <c r="O8" s="15" t="s">
        <v>41</v>
      </c>
    </row>
    <row r="9" ht="13.8" customHeight="1" spans="1:15" x14ac:dyDescent="0.25">
      <c r="A9" s="1"/>
      <c r="B9" s="8" t="s">
        <v>40</v>
      </c>
      <c r="C9" s="11" t="s">
        <v>20</v>
      </c>
      <c r="D9" s="11" t="s">
        <v>17</v>
      </c>
      <c r="E9" s="11" t="s">
        <v>18</v>
      </c>
      <c r="F9" s="11" t="s">
        <v>21</v>
      </c>
      <c r="G9" s="16">
        <v>300000</v>
      </c>
      <c r="H9" s="13">
        <f>'2025년 11월'!K9</f>
        <v>152200</v>
      </c>
      <c r="I9" s="13">
        <f t="shared" si="0"/>
        <v>452200</v>
      </c>
      <c r="J9" s="13">
        <v>333800</v>
      </c>
      <c r="K9" s="13">
        <f t="shared" si="1"/>
        <v>118400</v>
      </c>
      <c r="L9" s="14"/>
      <c r="M9" s="2"/>
      <c r="N9" s="2"/>
      <c r="O9" s="15" t="s">
        <v>42</v>
      </c>
    </row>
    <row r="10" ht="13.8" customHeight="1" spans="1:15" x14ac:dyDescent="0.25">
      <c r="A10" s="1"/>
      <c r="B10" s="8" t="s">
        <v>40</v>
      </c>
      <c r="C10" s="11" t="s">
        <v>23</v>
      </c>
      <c r="D10" s="11" t="s">
        <v>17</v>
      </c>
      <c r="E10" s="11" t="s">
        <v>18</v>
      </c>
      <c r="F10" s="11" t="s">
        <v>24</v>
      </c>
      <c r="G10" s="16">
        <v>300000</v>
      </c>
      <c r="H10" s="13">
        <f>'2025년 11월'!K10</f>
        <v>12060</v>
      </c>
      <c r="I10" s="13">
        <f t="shared" si="0"/>
        <v>312060</v>
      </c>
      <c r="J10" s="13">
        <v>295900</v>
      </c>
      <c r="K10" s="13">
        <f t="shared" si="1"/>
        <v>16160</v>
      </c>
      <c r="L10" s="14"/>
      <c r="M10" s="2"/>
      <c r="N10" s="2"/>
      <c r="O10" s="15" t="s">
        <v>43</v>
      </c>
    </row>
    <row r="11" ht="13.8" customHeight="1" spans="1:15" x14ac:dyDescent="0.25">
      <c r="A11" s="1"/>
      <c r="B11" s="8" t="s">
        <v>40</v>
      </c>
      <c r="C11" s="11" t="s">
        <v>26</v>
      </c>
      <c r="D11" s="17" t="s">
        <v>17</v>
      </c>
      <c r="E11" s="17" t="s">
        <v>18</v>
      </c>
      <c r="F11" s="17" t="s">
        <v>27</v>
      </c>
      <c r="G11" s="18">
        <v>300000</v>
      </c>
      <c r="H11" s="13">
        <f>'2025년 11월'!K11</f>
        <v>141300</v>
      </c>
      <c r="I11" s="13">
        <f t="shared" si="0"/>
        <v>441300</v>
      </c>
      <c r="J11" s="19">
        <v>257340</v>
      </c>
      <c r="K11" s="13">
        <f t="shared" si="1"/>
        <v>183960</v>
      </c>
      <c r="L11" s="20"/>
      <c r="M11" s="2"/>
      <c r="N11" s="2"/>
      <c r="O11" s="15" t="s">
        <v>44</v>
      </c>
    </row>
    <row r="12" ht="13.8" customHeight="1" spans="1:15" x14ac:dyDescent="0.25">
      <c r="A12" s="1"/>
      <c r="B12" s="8" t="s">
        <v>40</v>
      </c>
      <c r="C12" s="17" t="s">
        <v>29</v>
      </c>
      <c r="D12" s="17" t="s">
        <v>17</v>
      </c>
      <c r="E12" s="17" t="s">
        <v>18</v>
      </c>
      <c r="F12" s="17" t="s">
        <v>30</v>
      </c>
      <c r="G12" s="18">
        <v>300000</v>
      </c>
      <c r="H12" s="13">
        <f>'2025년 11월'!K12</f>
        <v>87960</v>
      </c>
      <c r="I12" s="13">
        <f t="shared" si="0"/>
        <v>387960</v>
      </c>
      <c r="J12" s="19">
        <v>381590</v>
      </c>
      <c r="K12" s="13">
        <f t="shared" si="1"/>
        <v>6370</v>
      </c>
      <c r="L12" s="20"/>
      <c r="M12" s="2"/>
      <c r="N12" s="2"/>
      <c r="O12" s="15" t="s">
        <v>45</v>
      </c>
    </row>
    <row r="13" ht="13.8" customHeight="1" spans="1:15" x14ac:dyDescent="0.25">
      <c r="A13" s="1"/>
      <c r="B13" s="8" t="s">
        <v>40</v>
      </c>
      <c r="C13" s="17" t="s">
        <v>32</v>
      </c>
      <c r="D13" s="17" t="s">
        <v>17</v>
      </c>
      <c r="E13" s="17" t="s">
        <v>18</v>
      </c>
      <c r="F13" s="17" t="s">
        <v>33</v>
      </c>
      <c r="G13" s="18">
        <v>300000</v>
      </c>
      <c r="H13" s="13">
        <f>'2025년 11월'!K13</f>
        <v>1130</v>
      </c>
      <c r="I13" s="13">
        <f t="shared" si="0"/>
        <v>301130</v>
      </c>
      <c r="J13" s="19">
        <v>299700</v>
      </c>
      <c r="K13" s="13">
        <f t="shared" si="1"/>
        <v>1430</v>
      </c>
      <c r="L13" s="20"/>
      <c r="M13" s="21"/>
      <c r="N13" s="2"/>
      <c r="O13" s="15" t="s">
        <v>46</v>
      </c>
    </row>
    <row r="14" ht="13.8" customHeight="1" spans="1:15" x14ac:dyDescent="0.25">
      <c r="A14" s="1"/>
      <c r="B14" s="8" t="s">
        <v>40</v>
      </c>
      <c r="C14" s="17" t="s">
        <v>35</v>
      </c>
      <c r="D14" s="17" t="s">
        <v>17</v>
      </c>
      <c r="E14" s="17" t="s">
        <v>18</v>
      </c>
      <c r="F14" s="17" t="s">
        <v>36</v>
      </c>
      <c r="G14" s="18">
        <v>300000</v>
      </c>
      <c r="H14" s="13">
        <f>'2025년 11월'!K14</f>
        <v>46300</v>
      </c>
      <c r="I14" s="13">
        <f t="shared" si="0"/>
        <v>346300</v>
      </c>
      <c r="J14" s="19">
        <v>337700</v>
      </c>
      <c r="K14" s="13">
        <f t="shared" si="1"/>
        <v>8600</v>
      </c>
      <c r="L14" s="20"/>
      <c r="M14" s="22" t="s">
        <v>37</v>
      </c>
      <c r="N14" s="2"/>
      <c r="O14" s="15" t="s">
        <v>47</v>
      </c>
    </row>
    <row r="15" ht="13.8" customHeight="1" spans="1:15" x14ac:dyDescent="0.25">
      <c r="A15" s="1"/>
      <c r="B15" s="23" t="s">
        <v>39</v>
      </c>
      <c r="C15" s="24"/>
      <c r="D15" s="24"/>
      <c r="E15" s="24"/>
      <c r="F15" s="24"/>
      <c r="G15" s="25">
        <f>SUM(G7:G14)</f>
        <v>2100000</v>
      </c>
      <c r="H15" s="26">
        <f>SUM(H8:H14)</f>
        <v>556050</v>
      </c>
      <c r="I15" s="26">
        <f>SUM(I7:I14)</f>
        <v>2656050</v>
      </c>
      <c r="J15" s="26">
        <f t="shared" ref="J15:K15" si="2">SUM(J8:J14)</f>
        <v>2271043</v>
      </c>
      <c r="K15" s="26">
        <f t="shared" si="2"/>
        <v>385007</v>
      </c>
      <c r="L15" s="27"/>
      <c r="M15" s="28">
        <f>K15</f>
        <v>385007</v>
      </c>
      <c r="N15" s="2"/>
      <c r="O15" s="15"/>
    </row>
    <row r="16" ht="13.8" customHeight="1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  <c r="N16" s="2"/>
      <c r="O16" s="2"/>
    </row>
    <row r="17" ht="13.8" customHeight="1" spans="1:15" x14ac:dyDescent="0.25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2"/>
      <c r="N17" s="2"/>
      <c r="O17" s="2"/>
    </row>
    <row r="18" ht="13.8" customHeight="1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  <c r="N18" s="2"/>
      <c r="O18" s="2"/>
    </row>
    <row r="19" ht="13.8" customHeight="1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2"/>
      <c r="O19" s="2"/>
    </row>
    <row r="20" ht="13.8" customHeight="1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"/>
      <c r="N20" s="2"/>
      <c r="O20" s="2"/>
    </row>
    <row r="21" ht="14.4" customHeight="1" spans="1:15" x14ac:dyDescent="0.25">
      <c r="A21" s="29"/>
      <c r="B21" s="29"/>
      <c r="C21" s="29"/>
      <c r="D21" s="29"/>
      <c r="E21" s="29"/>
      <c r="F21" s="29"/>
      <c r="G21" s="29"/>
      <c r="H21" s="29"/>
      <c r="I21" s="1"/>
      <c r="J21" s="29"/>
      <c r="K21" s="29"/>
      <c r="L21" s="29"/>
      <c r="M21" s="2"/>
      <c r="N21" s="2"/>
      <c r="O21" s="2"/>
    </row>
    <row r="22" ht="14.4" customHeight="1" spans="1:1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"/>
      <c r="N22" s="2"/>
      <c r="O22" s="2"/>
    </row>
    <row r="23" ht="14.4" customHeight="1" spans="1:1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"/>
      <c r="N23" s="2"/>
      <c r="O23" s="2"/>
    </row>
    <row r="24" ht="14.4" customHeight="1" spans="1:1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"/>
      <c r="N24" s="2"/>
      <c r="O24" s="2"/>
    </row>
    <row r="25" ht="14.4" customHeight="1" spans="1:15" x14ac:dyDescent="0.25">
      <c r="A25" s="29"/>
      <c r="B25" s="29"/>
      <c r="C25" s="29"/>
      <c r="D25" s="29"/>
      <c r="E25" s="29"/>
      <c r="F25" s="29"/>
      <c r="G25" s="29"/>
      <c r="H25" s="29"/>
      <c r="I25" s="30"/>
      <c r="J25" s="29"/>
      <c r="K25" s="29"/>
      <c r="L25" s="29"/>
      <c r="M25" s="2"/>
      <c r="N25" s="2"/>
      <c r="O25" s="2"/>
    </row>
    <row r="26" ht="14.4" customHeight="1" spans="1:1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"/>
      <c r="N26" s="2"/>
      <c r="O26" s="2"/>
    </row>
    <row r="29" ht="13.2" customHeight="1" spans="15:15" x14ac:dyDescent="0.25">
      <c r="O29" s="31"/>
    </row>
  </sheetData>
  <mergeCells count="2">
    <mergeCell ref="B2:D2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9"/>
  <sheetViews>
    <sheetView workbookViewId="0" zoomScale="100" zoomScaleNormal="100"/>
  </sheetViews>
  <sheetFormatPr defaultRowHeight="15.75" outlineLevelRow="0" outlineLevelCol="0" x14ac:dyDescent="0" defaultColWidth="12.69921875" customHeight="1"/>
  <cols>
    <col min="3" max="3" width="17.3984375" customWidth="1"/>
    <col min="12" max="12" width="20.19921875" customWidth="1"/>
    <col min="15" max="15" width="16.19921875" customWidth="1"/>
  </cols>
  <sheetData>
    <row r="1" ht="13.8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15.75" customHeight="1" spans="1:15" x14ac:dyDescent="0.25">
      <c r="A2" s="3"/>
      <c r="B2" s="3" t="s">
        <v>0</v>
      </c>
      <c r="C2" s="4"/>
      <c r="D2" s="4"/>
      <c r="E2" s="3"/>
      <c r="F2" s="3"/>
      <c r="G2" s="3"/>
      <c r="H2" s="3"/>
      <c r="I2" s="5"/>
      <c r="J2" s="3"/>
      <c r="K2" s="3"/>
      <c r="L2" s="3"/>
      <c r="M2" s="2"/>
      <c r="N2" s="2"/>
      <c r="O2" s="2"/>
    </row>
    <row r="3" ht="13.8" customHeight="1" spans="1:15" x14ac:dyDescent="0.25">
      <c r="A3" s="6"/>
      <c r="B3" s="6" t="s">
        <v>1</v>
      </c>
      <c r="C3" s="4"/>
      <c r="D3" s="4"/>
      <c r="E3" s="4"/>
      <c r="F3" s="6"/>
      <c r="G3" s="6"/>
      <c r="H3" s="6"/>
      <c r="I3" s="6"/>
      <c r="J3" s="6"/>
      <c r="K3" s="6"/>
      <c r="L3" s="6"/>
      <c r="M3" s="2"/>
      <c r="N3" s="2"/>
      <c r="O3" s="2"/>
    </row>
    <row r="4" ht="13.8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</row>
    <row r="5" ht="13.8" customHeight="1" spans="1:15" x14ac:dyDescent="0.25">
      <c r="A5" s="1"/>
      <c r="B5" s="7" t="s">
        <v>2</v>
      </c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</row>
    <row r="6" ht="13.8" customHeight="1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</row>
    <row r="7" ht="13.8" customHeight="1" spans="1:15" x14ac:dyDescent="0.25">
      <c r="A7" s="1"/>
      <c r="B7" s="8" t="s">
        <v>48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2"/>
      <c r="N7" s="2"/>
      <c r="O7" s="10" t="s">
        <v>15</v>
      </c>
    </row>
    <row r="8" ht="13.8" customHeight="1" spans="1:15" x14ac:dyDescent="0.25">
      <c r="A8" s="1"/>
      <c r="B8" s="8" t="s">
        <v>48</v>
      </c>
      <c r="C8" s="11" t="s">
        <v>16</v>
      </c>
      <c r="D8" s="11" t="s">
        <v>17</v>
      </c>
      <c r="E8" s="11" t="s">
        <v>18</v>
      </c>
      <c r="F8" s="11" t="s">
        <v>3</v>
      </c>
      <c r="G8" s="12">
        <v>300000</v>
      </c>
      <c r="H8" s="13">
        <f>'2025년 12월'!K8</f>
        <v>50087</v>
      </c>
      <c r="I8" s="13">
        <f t="shared" ref="I8:I14" si="0">G8+H8</f>
        <v>350087</v>
      </c>
      <c r="J8" s="13">
        <v>356500</v>
      </c>
      <c r="K8" s="13">
        <f t="shared" ref="K8:K14" si="1">I8-J8</f>
        <v>-6413</v>
      </c>
      <c r="L8" s="14"/>
      <c r="M8" s="2"/>
      <c r="N8" s="2"/>
      <c r="O8" s="15" t="s">
        <v>49</v>
      </c>
    </row>
    <row r="9" ht="13.8" customHeight="1" spans="1:15" x14ac:dyDescent="0.25">
      <c r="A9" s="1"/>
      <c r="B9" s="8" t="s">
        <v>48</v>
      </c>
      <c r="C9" s="11" t="s">
        <v>20</v>
      </c>
      <c r="D9" s="11" t="s">
        <v>17</v>
      </c>
      <c r="E9" s="11" t="s">
        <v>18</v>
      </c>
      <c r="F9" s="11" t="s">
        <v>21</v>
      </c>
      <c r="G9" s="16">
        <v>300000</v>
      </c>
      <c r="H9" s="13">
        <f>'2025년 12월'!K9</f>
        <v>118400</v>
      </c>
      <c r="I9" s="13">
        <f t="shared" si="0"/>
        <v>418400</v>
      </c>
      <c r="J9" s="13">
        <v>244106</v>
      </c>
      <c r="K9" s="13">
        <f t="shared" si="1"/>
        <v>174294</v>
      </c>
      <c r="L9" s="14"/>
      <c r="M9" s="2"/>
      <c r="N9" s="2"/>
      <c r="O9" s="15" t="s">
        <v>50</v>
      </c>
    </row>
    <row r="10" ht="13.8" customHeight="1" spans="1:15" x14ac:dyDescent="0.25">
      <c r="A10" s="1"/>
      <c r="B10" s="8" t="s">
        <v>48</v>
      </c>
      <c r="C10" s="11" t="s">
        <v>23</v>
      </c>
      <c r="D10" s="11" t="s">
        <v>17</v>
      </c>
      <c r="E10" s="11" t="s">
        <v>18</v>
      </c>
      <c r="F10" s="11" t="s">
        <v>24</v>
      </c>
      <c r="G10" s="16">
        <v>300000</v>
      </c>
      <c r="H10" s="13">
        <f>'2025년 12월'!K10</f>
        <v>16160</v>
      </c>
      <c r="I10" s="13">
        <f t="shared" si="0"/>
        <v>316160</v>
      </c>
      <c r="J10" s="13">
        <v>289740</v>
      </c>
      <c r="K10" s="13">
        <f t="shared" si="1"/>
        <v>26420</v>
      </c>
      <c r="L10" s="14"/>
      <c r="M10" s="2"/>
      <c r="N10" s="2"/>
      <c r="O10" s="15" t="s">
        <v>51</v>
      </c>
    </row>
    <row r="11" ht="13.8" customHeight="1" spans="1:15" x14ac:dyDescent="0.25">
      <c r="A11" s="1"/>
      <c r="B11" s="8" t="s">
        <v>48</v>
      </c>
      <c r="C11" s="11" t="s">
        <v>26</v>
      </c>
      <c r="D11" s="17" t="s">
        <v>17</v>
      </c>
      <c r="E11" s="17" t="s">
        <v>18</v>
      </c>
      <c r="F11" s="17" t="s">
        <v>27</v>
      </c>
      <c r="G11" s="18">
        <v>300000</v>
      </c>
      <c r="H11" s="13">
        <f>'2025년 12월'!K11</f>
        <v>183960</v>
      </c>
      <c r="I11" s="13">
        <f t="shared" si="0"/>
        <v>483960</v>
      </c>
      <c r="J11" s="19">
        <v>213540</v>
      </c>
      <c r="K11" s="13">
        <f t="shared" si="1"/>
        <v>270420</v>
      </c>
      <c r="L11" s="20"/>
      <c r="M11" s="2"/>
      <c r="N11" s="2"/>
      <c r="O11" s="15" t="s">
        <v>52</v>
      </c>
    </row>
    <row r="12" ht="13.8" customHeight="1" spans="1:15" x14ac:dyDescent="0.25">
      <c r="A12" s="1"/>
      <c r="B12" s="8" t="s">
        <v>48</v>
      </c>
      <c r="C12" s="17" t="s">
        <v>29</v>
      </c>
      <c r="D12" s="17" t="s">
        <v>17</v>
      </c>
      <c r="E12" s="17" t="s">
        <v>18</v>
      </c>
      <c r="F12" s="17" t="s">
        <v>30</v>
      </c>
      <c r="G12" s="18">
        <v>300000</v>
      </c>
      <c r="H12" s="13">
        <f>'2025년 12월'!K12</f>
        <v>6370</v>
      </c>
      <c r="I12" s="13">
        <f t="shared" si="0"/>
        <v>306370</v>
      </c>
      <c r="J12" s="19">
        <v>8600</v>
      </c>
      <c r="K12" s="13">
        <f t="shared" si="1"/>
        <v>297770</v>
      </c>
      <c r="L12" s="32" t="s">
        <v>53</v>
      </c>
      <c r="M12" s="2"/>
      <c r="N12" s="2"/>
      <c r="O12" s="15" t="s">
        <v>54</v>
      </c>
    </row>
    <row r="13" ht="13.8" customHeight="1" spans="1:15" x14ac:dyDescent="0.25">
      <c r="A13" s="1"/>
      <c r="B13" s="8" t="s">
        <v>48</v>
      </c>
      <c r="C13" s="17" t="s">
        <v>32</v>
      </c>
      <c r="D13" s="17" t="s">
        <v>17</v>
      </c>
      <c r="E13" s="17" t="s">
        <v>18</v>
      </c>
      <c r="F13" s="17" t="s">
        <v>33</v>
      </c>
      <c r="G13" s="18">
        <v>300000</v>
      </c>
      <c r="H13" s="13">
        <f>'2025년 12월'!K13</f>
        <v>1430</v>
      </c>
      <c r="I13" s="13">
        <f t="shared" si="0"/>
        <v>301430</v>
      </c>
      <c r="J13" s="33">
        <v>12200</v>
      </c>
      <c r="K13" s="13">
        <f t="shared" si="1"/>
        <v>289230</v>
      </c>
      <c r="L13" s="32" t="s">
        <v>53</v>
      </c>
      <c r="M13" s="21"/>
      <c r="N13" s="2"/>
      <c r="O13" s="15" t="s">
        <v>55</v>
      </c>
    </row>
    <row r="14" ht="13.8" customHeight="1" spans="1:15" x14ac:dyDescent="0.25">
      <c r="A14" s="1"/>
      <c r="B14" s="8" t="s">
        <v>48</v>
      </c>
      <c r="C14" s="17" t="s">
        <v>35</v>
      </c>
      <c r="D14" s="17" t="s">
        <v>17</v>
      </c>
      <c r="E14" s="17" t="s">
        <v>18</v>
      </c>
      <c r="F14" s="17" t="s">
        <v>36</v>
      </c>
      <c r="G14" s="18">
        <v>300000</v>
      </c>
      <c r="H14" s="13">
        <f>'2025년 12월'!K14</f>
        <v>8600</v>
      </c>
      <c r="I14" s="13">
        <f t="shared" si="0"/>
        <v>308600</v>
      </c>
      <c r="J14" s="33">
        <v>30100</v>
      </c>
      <c r="K14" s="13">
        <f t="shared" si="1"/>
        <v>278500</v>
      </c>
      <c r="L14" s="32" t="s">
        <v>53</v>
      </c>
      <c r="M14" s="22" t="s">
        <v>37</v>
      </c>
      <c r="N14" s="2"/>
      <c r="O14" s="15" t="s">
        <v>56</v>
      </c>
    </row>
    <row r="15" ht="13.8" customHeight="1" spans="1:15" x14ac:dyDescent="0.25">
      <c r="A15" s="1"/>
      <c r="B15" s="23" t="s">
        <v>39</v>
      </c>
      <c r="C15" s="24"/>
      <c r="D15" s="24"/>
      <c r="E15" s="24"/>
      <c r="F15" s="24"/>
      <c r="G15" s="25">
        <f>SUM(G7:G14)</f>
        <v>2100000</v>
      </c>
      <c r="H15" s="26">
        <f>SUM(H8:H14)</f>
        <v>385007</v>
      </c>
      <c r="I15" s="26">
        <f>SUM(I7:I14)</f>
        <v>2485007</v>
      </c>
      <c r="J15" s="26">
        <f t="shared" ref="J15:K15" si="2">SUM(J8:J14)</f>
        <v>1154786</v>
      </c>
      <c r="K15" s="26">
        <f t="shared" si="2"/>
        <v>1330221</v>
      </c>
      <c r="L15" s="27"/>
      <c r="M15" s="28">
        <f>K15</f>
        <v>1330221</v>
      </c>
      <c r="N15" s="2"/>
      <c r="O15" s="15"/>
    </row>
    <row r="16" ht="13.8" customHeight="1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  <c r="N16" s="2"/>
      <c r="O16" s="2"/>
    </row>
    <row r="17" ht="13.8" customHeight="1" spans="1:15" x14ac:dyDescent="0.25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2"/>
      <c r="N17" s="2"/>
      <c r="O17" s="2"/>
    </row>
    <row r="18" ht="13.8" customHeight="1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  <c r="N18" s="2"/>
      <c r="O18" s="2"/>
    </row>
    <row r="19" ht="13.8" customHeight="1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2"/>
      <c r="O19" s="2"/>
    </row>
    <row r="20" ht="13.8" customHeight="1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"/>
      <c r="N20" s="2"/>
      <c r="O20" s="2"/>
    </row>
    <row r="21" ht="14.4" customHeight="1" spans="1:15" x14ac:dyDescent="0.25">
      <c r="A21" s="29"/>
      <c r="B21" s="29"/>
      <c r="C21" s="29"/>
      <c r="D21" s="29"/>
      <c r="E21" s="29"/>
      <c r="F21" s="29"/>
      <c r="G21" s="29"/>
      <c r="H21" s="29"/>
      <c r="I21" s="1"/>
      <c r="J21" s="29"/>
      <c r="K21" s="29"/>
      <c r="L21" s="29"/>
      <c r="M21" s="2"/>
      <c r="N21" s="2"/>
      <c r="O21" s="2"/>
    </row>
    <row r="22" ht="14.4" customHeight="1" spans="1:1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"/>
      <c r="N22" s="2"/>
      <c r="O22" s="2"/>
    </row>
    <row r="23" ht="14.4" customHeight="1" spans="1:1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"/>
      <c r="N23" s="2"/>
      <c r="O23" s="2"/>
    </row>
    <row r="24" ht="14.4" customHeight="1" spans="1:1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"/>
      <c r="N24" s="2"/>
      <c r="O24" s="2"/>
    </row>
    <row r="25" ht="14.4" customHeight="1" spans="1:15" x14ac:dyDescent="0.25">
      <c r="A25" s="29"/>
      <c r="B25" s="29"/>
      <c r="C25" s="29"/>
      <c r="D25" s="29"/>
      <c r="E25" s="29"/>
      <c r="F25" s="29"/>
      <c r="G25" s="29"/>
      <c r="H25" s="29"/>
      <c r="I25" s="30"/>
      <c r="J25" s="29"/>
      <c r="K25" s="29"/>
      <c r="L25" s="29"/>
      <c r="M25" s="2"/>
      <c r="N25" s="2"/>
      <c r="O25" s="2"/>
    </row>
    <row r="26" ht="14.4" customHeight="1" spans="1:1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"/>
      <c r="N26" s="2"/>
      <c r="O26" s="2"/>
    </row>
    <row r="29" ht="13.2" customHeight="1" spans="15:15" x14ac:dyDescent="0.25">
      <c r="O29" s="31"/>
    </row>
  </sheetData>
  <mergeCells count="2">
    <mergeCell ref="B2:D2"/>
    <mergeCell ref="B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5"/>
  <sheetViews>
    <sheetView workbookViewId="0" zoomScale="100" zoomScaleNormal="100"/>
  </sheetViews>
  <sheetFormatPr defaultRowHeight="15.75" outlineLevelRow="0" outlineLevelCol="0" x14ac:dyDescent="0" defaultColWidth="12.69921875" customHeight="1"/>
  <cols>
    <col min="3" max="3" width="19.09765625" customWidth="1"/>
    <col min="12" max="12" width="20.19921875" customWidth="1"/>
    <col min="13" max="13" width="13.8984375" customWidth="1"/>
    <col min="15" max="15" width="17.796875" customWidth="1"/>
  </cols>
  <sheetData>
    <row r="1" ht="13.8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15.75" customHeight="1" spans="1:15" x14ac:dyDescent="0.25">
      <c r="A2" s="3"/>
      <c r="B2" s="3" t="s">
        <v>0</v>
      </c>
      <c r="C2" s="4"/>
      <c r="D2" s="4"/>
      <c r="E2" s="3"/>
      <c r="F2" s="3"/>
      <c r="G2" s="3"/>
      <c r="H2" s="3"/>
      <c r="I2" s="5"/>
      <c r="J2" s="3"/>
      <c r="K2" s="3"/>
      <c r="L2" s="3"/>
      <c r="M2" s="2"/>
      <c r="N2" s="2"/>
      <c r="O2" s="2"/>
    </row>
    <row r="3" ht="13.8" customHeight="1" spans="1:15" x14ac:dyDescent="0.25">
      <c r="A3" s="6"/>
      <c r="B3" s="6" t="s">
        <v>1</v>
      </c>
      <c r="C3" s="4"/>
      <c r="D3" s="4"/>
      <c r="E3" s="4"/>
      <c r="F3" s="6"/>
      <c r="G3" s="6"/>
      <c r="H3" s="6"/>
      <c r="I3" s="6"/>
      <c r="J3" s="6"/>
      <c r="K3" s="6"/>
      <c r="L3" s="6"/>
      <c r="M3" s="2"/>
      <c r="N3" s="2"/>
      <c r="O3" s="2"/>
    </row>
    <row r="4" ht="13.8" customHeight="1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</row>
    <row r="5" ht="13.8" customHeight="1" spans="1:15" x14ac:dyDescent="0.25">
      <c r="A5" s="1"/>
      <c r="B5" s="7" t="s">
        <v>2</v>
      </c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</row>
    <row r="6" ht="13.8" customHeight="1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</row>
    <row r="7" ht="13.8" customHeight="1" spans="1:15" x14ac:dyDescent="0.25">
      <c r="A7" s="1"/>
      <c r="B7" s="8" t="s">
        <v>57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2"/>
      <c r="N7" s="2"/>
      <c r="O7" s="10" t="s">
        <v>15</v>
      </c>
    </row>
    <row r="8" ht="13.8" customHeight="1" spans="1:15" x14ac:dyDescent="0.25">
      <c r="A8" s="1"/>
      <c r="B8" s="8" t="s">
        <v>57</v>
      </c>
      <c r="C8" s="11" t="s">
        <v>16</v>
      </c>
      <c r="D8" s="11" t="s">
        <v>17</v>
      </c>
      <c r="E8" s="11" t="s">
        <v>18</v>
      </c>
      <c r="F8" s="11" t="s">
        <v>3</v>
      </c>
      <c r="G8" s="12">
        <v>300000</v>
      </c>
      <c r="H8" s="13">
        <f>'2026년 1월'!K8</f>
        <v>-6413</v>
      </c>
      <c r="I8" s="13">
        <f t="shared" ref="I8:I11" si="0">G8+H8</f>
        <v>293587</v>
      </c>
      <c r="J8" s="13">
        <v>194440</v>
      </c>
      <c r="K8" s="13">
        <f t="shared" ref="K8:K11" si="1">I8-J8</f>
        <v>99147</v>
      </c>
      <c r="L8" s="14"/>
      <c r="M8" s="2"/>
      <c r="N8" s="2"/>
      <c r="O8" s="15" t="s">
        <v>58</v>
      </c>
    </row>
    <row r="9" ht="13.8" customHeight="1" spans="1:15" x14ac:dyDescent="0.25">
      <c r="A9" s="1"/>
      <c r="B9" s="8" t="s">
        <v>57</v>
      </c>
      <c r="C9" s="11" t="s">
        <v>20</v>
      </c>
      <c r="D9" s="11" t="s">
        <v>17</v>
      </c>
      <c r="E9" s="11" t="s">
        <v>18</v>
      </c>
      <c r="F9" s="11" t="s">
        <v>21</v>
      </c>
      <c r="G9" s="16">
        <v>300000</v>
      </c>
      <c r="H9" s="13">
        <f>'2026년 1월'!K9</f>
        <v>174294</v>
      </c>
      <c r="I9" s="13">
        <f t="shared" si="0"/>
        <v>474294</v>
      </c>
      <c r="J9" s="13">
        <v>445470</v>
      </c>
      <c r="K9" s="13">
        <f t="shared" si="1"/>
        <v>28824</v>
      </c>
      <c r="L9" s="14"/>
      <c r="M9" s="2"/>
      <c r="N9" s="2"/>
      <c r="O9" s="15" t="s">
        <v>59</v>
      </c>
    </row>
    <row r="10" ht="13.8" customHeight="1" spans="1:15" x14ac:dyDescent="0.25">
      <c r="A10" s="1"/>
      <c r="B10" s="8" t="s">
        <v>57</v>
      </c>
      <c r="C10" s="11" t="s">
        <v>23</v>
      </c>
      <c r="D10" s="11" t="s">
        <v>17</v>
      </c>
      <c r="E10" s="11" t="s">
        <v>18</v>
      </c>
      <c r="F10" s="11" t="s">
        <v>24</v>
      </c>
      <c r="G10" s="16">
        <v>300000</v>
      </c>
      <c r="H10" s="13">
        <f>'2026년 1월'!K10</f>
        <v>26420</v>
      </c>
      <c r="I10" s="13">
        <f t="shared" si="0"/>
        <v>326420</v>
      </c>
      <c r="J10" s="13">
        <v>284180</v>
      </c>
      <c r="K10" s="13">
        <f t="shared" si="1"/>
        <v>42240</v>
      </c>
      <c r="L10" s="14"/>
      <c r="M10" s="2"/>
      <c r="N10" s="2"/>
      <c r="O10" s="15" t="s">
        <v>60</v>
      </c>
    </row>
    <row r="11" ht="13.8" customHeight="1" spans="1:15" x14ac:dyDescent="0.25">
      <c r="A11" s="1"/>
      <c r="B11" s="8" t="s">
        <v>57</v>
      </c>
      <c r="C11" s="11" t="s">
        <v>26</v>
      </c>
      <c r="D11" s="17" t="s">
        <v>17</v>
      </c>
      <c r="E11" s="17" t="s">
        <v>18</v>
      </c>
      <c r="F11" s="17" t="s">
        <v>27</v>
      </c>
      <c r="G11" s="18">
        <v>300000</v>
      </c>
      <c r="H11" s="13">
        <f>'2026년 1월'!K11</f>
        <v>270420</v>
      </c>
      <c r="I11" s="13">
        <f t="shared" si="0"/>
        <v>570420</v>
      </c>
      <c r="J11" s="19">
        <v>258700</v>
      </c>
      <c r="K11" s="13">
        <f t="shared" si="1"/>
        <v>311720</v>
      </c>
      <c r="L11" s="20"/>
      <c r="M11" s="2"/>
      <c r="N11" s="2"/>
      <c r="O11" s="15" t="s">
        <v>61</v>
      </c>
    </row>
    <row r="12" ht="13.8" customHeight="1" spans="1:15" x14ac:dyDescent="0.25">
      <c r="A12" s="1"/>
      <c r="B12" s="23" t="s">
        <v>39</v>
      </c>
      <c r="C12" s="24"/>
      <c r="D12" s="24"/>
      <c r="E12" s="24"/>
      <c r="F12" s="24"/>
      <c r="G12" s="25">
        <f>SUM(G7:G11)</f>
        <v>1200000</v>
      </c>
      <c r="H12" s="26">
        <f>SUM(H8:H11)</f>
        <v>464721</v>
      </c>
      <c r="I12" s="26">
        <f>SUM(I7:I11)</f>
        <v>1664721</v>
      </c>
      <c r="J12" s="26">
        <f t="shared" ref="J12:K12" si="2">SUM(J8:J11)</f>
        <v>1182790</v>
      </c>
      <c r="K12" s="26">
        <f t="shared" si="2"/>
        <v>481931</v>
      </c>
      <c r="L12" s="27"/>
      <c r="M12" s="34">
        <f>K12</f>
        <v>481931</v>
      </c>
      <c r="N12" s="2"/>
      <c r="O12" s="15"/>
    </row>
    <row r="13" ht="13.8" customHeight="1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  <c r="O13" s="2"/>
    </row>
    <row r="14" ht="13.8" customHeight="1" spans="1:15" x14ac:dyDescent="0.25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2"/>
      <c r="N14" s="2"/>
      <c r="O14" s="2"/>
    </row>
    <row r="15" ht="13.8" customHeight="1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"/>
      <c r="N15" s="2"/>
      <c r="O15" s="2"/>
    </row>
  </sheetData>
  <mergeCells count="2">
    <mergeCell ref="B2:D2"/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5"/>
  <sheetViews>
    <sheetView workbookViewId="0" zoomScale="100" zoomScaleNormal="100"/>
  </sheetViews>
  <sheetFormatPr defaultRowHeight="15.75" outlineLevelRow="0" outlineLevelCol="0" x14ac:dyDescent="0" defaultColWidth="12.69921875" customHeight="1"/>
  <cols>
    <col min="3" max="3" width="19.09765625" customWidth="1"/>
    <col min="12" max="12" width="20.19921875" customWidth="1"/>
    <col min="13" max="13" width="13.8984375" customWidth="1"/>
  </cols>
  <sheetData>
    <row r="1" ht="13.8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ht="15.75" customHeight="1" spans="1:14" x14ac:dyDescent="0.25">
      <c r="A2" s="3"/>
      <c r="B2" s="3" t="s">
        <v>0</v>
      </c>
      <c r="C2" s="4"/>
      <c r="D2" s="4"/>
      <c r="E2" s="3"/>
      <c r="F2" s="3"/>
      <c r="G2" s="3"/>
      <c r="H2" s="3"/>
      <c r="I2" s="5"/>
      <c r="J2" s="3"/>
      <c r="K2" s="3"/>
      <c r="L2" s="3"/>
      <c r="M2" s="2"/>
      <c r="N2" s="2"/>
    </row>
    <row r="3" ht="13.8" customHeight="1" spans="1:14" x14ac:dyDescent="0.25">
      <c r="A3" s="6"/>
      <c r="B3" s="6" t="s">
        <v>1</v>
      </c>
      <c r="C3" s="4"/>
      <c r="D3" s="4"/>
      <c r="E3" s="4"/>
      <c r="F3" s="6"/>
      <c r="G3" s="6"/>
      <c r="H3" s="6"/>
      <c r="I3" s="6"/>
      <c r="J3" s="6"/>
      <c r="K3" s="6"/>
      <c r="L3" s="6"/>
      <c r="M3" s="2"/>
      <c r="N3" s="2"/>
    </row>
    <row r="4" ht="13.8" customHeight="1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</row>
    <row r="5" ht="13.8" customHeight="1" spans="1:14" x14ac:dyDescent="0.25">
      <c r="A5" s="1"/>
      <c r="B5" s="7" t="s">
        <v>2</v>
      </c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</row>
    <row r="6" ht="13.8" customHeight="1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</row>
    <row r="7" ht="13.8" customHeight="1" spans="1:14" x14ac:dyDescent="0.25">
      <c r="A7" s="1"/>
      <c r="B7" s="8" t="s">
        <v>62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2"/>
      <c r="N7" s="2"/>
    </row>
    <row r="8" ht="13.8" customHeight="1" spans="1:14" x14ac:dyDescent="0.25">
      <c r="A8" s="1"/>
      <c r="B8" s="8" t="s">
        <v>62</v>
      </c>
      <c r="C8" s="11" t="s">
        <v>16</v>
      </c>
      <c r="D8" s="11" t="s">
        <v>17</v>
      </c>
      <c r="E8" s="11" t="s">
        <v>18</v>
      </c>
      <c r="F8" s="11" t="s">
        <v>3</v>
      </c>
      <c r="G8" s="12">
        <v>300000</v>
      </c>
      <c r="H8" s="13">
        <f>'2026년 2월'!K8</f>
        <v>99147</v>
      </c>
      <c r="I8" s="13">
        <f t="shared" ref="I8:I11" si="0">G8+H8</f>
        <v>399147</v>
      </c>
      <c r="J8" s="13">
        <v>368420</v>
      </c>
      <c r="K8" s="13">
        <f t="shared" ref="K8:K11" si="1">I8-J8</f>
        <v>30727</v>
      </c>
      <c r="L8" s="14"/>
      <c r="M8" s="2"/>
      <c r="N8" s="2"/>
    </row>
    <row r="9" ht="13.8" customHeight="1" spans="1:14" x14ac:dyDescent="0.25">
      <c r="A9" s="1"/>
      <c r="B9" s="8" t="s">
        <v>62</v>
      </c>
      <c r="C9" s="11" t="s">
        <v>20</v>
      </c>
      <c r="D9" s="11" t="s">
        <v>17</v>
      </c>
      <c r="E9" s="11" t="s">
        <v>18</v>
      </c>
      <c r="F9" s="11" t="s">
        <v>21</v>
      </c>
      <c r="G9" s="16">
        <v>300000</v>
      </c>
      <c r="H9" s="13">
        <f>'2026년 2월'!K9</f>
        <v>28824</v>
      </c>
      <c r="I9" s="13">
        <f t="shared" si="0"/>
        <v>328824</v>
      </c>
      <c r="J9" s="13">
        <v>303200</v>
      </c>
      <c r="K9" s="13">
        <f t="shared" si="1"/>
        <v>25624</v>
      </c>
      <c r="L9" s="14"/>
      <c r="M9" s="2"/>
      <c r="N9" s="2"/>
    </row>
    <row r="10" ht="13.8" customHeight="1" spans="1:14" x14ac:dyDescent="0.25">
      <c r="A10" s="1"/>
      <c r="B10" s="8" t="s">
        <v>62</v>
      </c>
      <c r="C10" s="11" t="s">
        <v>23</v>
      </c>
      <c r="D10" s="11" t="s">
        <v>17</v>
      </c>
      <c r="E10" s="11" t="s">
        <v>18</v>
      </c>
      <c r="F10" s="11" t="s">
        <v>24</v>
      </c>
      <c r="G10" s="16">
        <v>300000</v>
      </c>
      <c r="H10" s="13">
        <f>'2026년 2월'!K10</f>
        <v>42240</v>
      </c>
      <c r="I10" s="13">
        <f t="shared" si="0"/>
        <v>342240</v>
      </c>
      <c r="J10" s="13">
        <v>314430</v>
      </c>
      <c r="K10" s="13">
        <f t="shared" si="1"/>
        <v>27810</v>
      </c>
      <c r="L10" s="14"/>
      <c r="M10" s="2"/>
      <c r="N10" s="2"/>
    </row>
    <row r="11" ht="13.8" customHeight="1" spans="1:14" x14ac:dyDescent="0.25">
      <c r="A11" s="1"/>
      <c r="B11" s="8" t="s">
        <v>62</v>
      </c>
      <c r="C11" s="11" t="s">
        <v>26</v>
      </c>
      <c r="D11" s="17" t="s">
        <v>17</v>
      </c>
      <c r="E11" s="17" t="s">
        <v>18</v>
      </c>
      <c r="F11" s="17" t="s">
        <v>27</v>
      </c>
      <c r="G11" s="18">
        <v>300000</v>
      </c>
      <c r="H11" s="13">
        <f>'2026년 2월'!K11</f>
        <v>311720</v>
      </c>
      <c r="I11" s="13">
        <f t="shared" si="0"/>
        <v>611720</v>
      </c>
      <c r="J11" s="19">
        <v>243320</v>
      </c>
      <c r="K11" s="13">
        <f t="shared" si="1"/>
        <v>368400</v>
      </c>
      <c r="L11" s="20"/>
      <c r="M11" s="2"/>
      <c r="N11" s="2"/>
    </row>
    <row r="12" ht="13.8" customHeight="1" spans="1:14" x14ac:dyDescent="0.25">
      <c r="A12" s="1"/>
      <c r="B12" s="23" t="s">
        <v>39</v>
      </c>
      <c r="C12" s="24"/>
      <c r="D12" s="24"/>
      <c r="E12" s="24"/>
      <c r="F12" s="24"/>
      <c r="G12" s="25">
        <f>SUM(G7:G11)</f>
        <v>1200000</v>
      </c>
      <c r="H12" s="26">
        <f>SUM(H8:H11)</f>
        <v>481931</v>
      </c>
      <c r="I12" s="26">
        <f>SUM(I7:I11)</f>
        <v>1681931</v>
      </c>
      <c r="J12" s="26">
        <f t="shared" ref="J12:K12" si="2">SUM(J8:J11)</f>
        <v>1229370</v>
      </c>
      <c r="K12" s="26">
        <f t="shared" si="2"/>
        <v>452561</v>
      </c>
      <c r="L12" s="27"/>
      <c r="M12" s="34">
        <f>K12</f>
        <v>452561</v>
      </c>
      <c r="N12" s="2"/>
    </row>
    <row r="13" ht="13.8" customHeight="1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</row>
    <row r="14" ht="13.8" customHeight="1" spans="1:14" x14ac:dyDescent="0.25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2"/>
      <c r="N14" s="2"/>
    </row>
    <row r="15" ht="13.8" customHeight="1" spans="1:14" x14ac:dyDescent="0.25">
      <c r="A15" s="1"/>
      <c r="B15" s="1"/>
      <c r="C15" s="1"/>
      <c r="D15" s="1"/>
      <c r="E15" s="1"/>
      <c r="F15" s="1"/>
      <c r="G15" s="1"/>
      <c r="H15" s="35"/>
      <c r="I15" s="1"/>
      <c r="J15" s="1"/>
      <c r="K15" s="1"/>
      <c r="L15" s="1"/>
      <c r="M15" s="2"/>
      <c r="N15" s="2"/>
    </row>
  </sheetData>
  <mergeCells count="2">
    <mergeCell ref="B2:D2"/>
    <mergeCell ref="B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5"/>
  <sheetViews>
    <sheetView workbookViewId="0" zoomScale="100" zoomScaleNormal="100">
      <selection activeCell="J9" sqref="J9"/>
    </sheetView>
  </sheetViews>
  <sheetFormatPr defaultRowHeight="15.75" outlineLevelRow="0" outlineLevelCol="0" x14ac:dyDescent="0" defaultColWidth="12.69921875" customHeight="1"/>
  <cols>
    <col min="3" max="3" width="19.09765625" customWidth="1"/>
    <col min="12" max="12" width="20.19921875" customWidth="1"/>
    <col min="13" max="13" width="13.8984375" customWidth="1"/>
  </cols>
  <sheetData>
    <row r="1" ht="13.8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ht="15.75" customHeight="1" spans="1:14" x14ac:dyDescent="0.25">
      <c r="A2" s="3"/>
      <c r="B2" s="3" t="s">
        <v>0</v>
      </c>
      <c r="C2" s="4"/>
      <c r="D2" s="4"/>
      <c r="E2" s="3"/>
      <c r="F2" s="3"/>
      <c r="G2" s="3"/>
      <c r="H2" s="3"/>
      <c r="I2" s="5"/>
      <c r="J2" s="3"/>
      <c r="K2" s="3"/>
      <c r="L2" s="3"/>
      <c r="M2" s="2"/>
      <c r="N2" s="2"/>
    </row>
    <row r="3" ht="13.8" customHeight="1" spans="1:14" x14ac:dyDescent="0.25">
      <c r="A3" s="6"/>
      <c r="B3" s="6" t="s">
        <v>1</v>
      </c>
      <c r="C3" s="4"/>
      <c r="D3" s="4"/>
      <c r="E3" s="4"/>
      <c r="F3" s="6"/>
      <c r="G3" s="6"/>
      <c r="H3" s="6"/>
      <c r="I3" s="6"/>
      <c r="J3" s="6"/>
      <c r="K3" s="6"/>
      <c r="L3" s="6"/>
      <c r="M3" s="2"/>
      <c r="N3" s="2"/>
    </row>
    <row r="4" ht="13.8" customHeight="1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</row>
    <row r="5" ht="13.8" customHeight="1" spans="1:14" x14ac:dyDescent="0.25">
      <c r="A5" s="1"/>
      <c r="B5" s="7" t="s">
        <v>2</v>
      </c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</row>
    <row r="6" ht="13.8" customHeight="1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</row>
    <row r="7" ht="13.8" customHeight="1" spans="1:14" x14ac:dyDescent="0.25">
      <c r="A7" s="1"/>
      <c r="B7" s="8" t="s">
        <v>63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2"/>
      <c r="N7" s="2"/>
    </row>
    <row r="8" ht="13.8" customHeight="1" spans="1:14" x14ac:dyDescent="0.25">
      <c r="A8" s="1"/>
      <c r="B8" s="8" t="s">
        <v>63</v>
      </c>
      <c r="C8" s="11" t="s">
        <v>16</v>
      </c>
      <c r="D8" s="11" t="s">
        <v>17</v>
      </c>
      <c r="E8" s="11" t="s">
        <v>18</v>
      </c>
      <c r="F8" s="11" t="s">
        <v>3</v>
      </c>
      <c r="G8" s="12">
        <v>300000</v>
      </c>
      <c r="H8" s="13">
        <f>'2026년 3월'!K8</f>
        <v>30727</v>
      </c>
      <c r="I8" s="13">
        <f t="shared" ref="I8:I11" si="0">G8+H8</f>
        <v>330727</v>
      </c>
      <c r="J8" s="13">
        <v>157300</v>
      </c>
      <c r="K8" s="13">
        <f>I8-J8</f>
        <v>173427</v>
      </c>
      <c r="L8" s="14"/>
      <c r="M8" s="2"/>
      <c r="N8" s="2"/>
    </row>
    <row r="9" ht="13.8" customHeight="1" spans="1:14" x14ac:dyDescent="0.25">
      <c r="A9" s="1"/>
      <c r="B9" s="8" t="s">
        <v>63</v>
      </c>
      <c r="C9" s="11" t="s">
        <v>20</v>
      </c>
      <c r="D9" s="11" t="s">
        <v>17</v>
      </c>
      <c r="E9" s="11" t="s">
        <v>18</v>
      </c>
      <c r="F9" s="11" t="s">
        <v>21</v>
      </c>
      <c r="G9" s="16">
        <v>300000</v>
      </c>
      <c r="H9" s="13">
        <f>'2026년 3월'!K9</f>
        <v>25624</v>
      </c>
      <c r="I9" s="13">
        <f t="shared" si="0"/>
        <v>325624</v>
      </c>
      <c r="J9" s="13">
        <v>128400</v>
      </c>
      <c r="K9" s="13">
        <f t="shared" ref="K9:K11" si="1">I9-J9</f>
        <v>197224</v>
      </c>
      <c r="L9" s="14"/>
      <c r="M9" s="2"/>
      <c r="N9" s="2"/>
    </row>
    <row r="10" ht="13.8" customHeight="1" spans="1:14" x14ac:dyDescent="0.25">
      <c r="A10" s="1"/>
      <c r="B10" s="8" t="s">
        <v>63</v>
      </c>
      <c r="C10" s="11" t="s">
        <v>23</v>
      </c>
      <c r="D10" s="11" t="s">
        <v>17</v>
      </c>
      <c r="E10" s="11" t="s">
        <v>18</v>
      </c>
      <c r="F10" s="11" t="s">
        <v>24</v>
      </c>
      <c r="G10" s="16">
        <v>300000</v>
      </c>
      <c r="H10" s="13">
        <f>'2026년 3월'!K10</f>
        <v>27810</v>
      </c>
      <c r="I10" s="13">
        <f t="shared" si="0"/>
        <v>327810</v>
      </c>
      <c r="J10" s="13"/>
      <c r="K10" s="13">
        <f t="shared" si="1"/>
        <v>327810</v>
      </c>
      <c r="L10" s="14"/>
      <c r="M10" s="2"/>
      <c r="N10" s="2"/>
    </row>
    <row r="11" ht="13.8" customHeight="1" spans="1:14" x14ac:dyDescent="0.25">
      <c r="A11" s="1"/>
      <c r="B11" s="8" t="s">
        <v>63</v>
      </c>
      <c r="C11" s="11" t="s">
        <v>26</v>
      </c>
      <c r="D11" s="17" t="s">
        <v>17</v>
      </c>
      <c r="E11" s="17" t="s">
        <v>18</v>
      </c>
      <c r="F11" s="17" t="s">
        <v>27</v>
      </c>
      <c r="G11" s="18">
        <v>300000</v>
      </c>
      <c r="H11" s="13">
        <f>'2026년 3월'!K11</f>
        <v>368400</v>
      </c>
      <c r="I11" s="13">
        <f t="shared" si="0"/>
        <v>668400</v>
      </c>
      <c r="J11" s="19">
        <v>237180</v>
      </c>
      <c r="K11" s="13">
        <f t="shared" si="1"/>
        <v>431220</v>
      </c>
      <c r="L11" s="20"/>
      <c r="M11" s="2"/>
      <c r="N11" s="2"/>
    </row>
    <row r="12" ht="13.8" customHeight="1" spans="1:14" x14ac:dyDescent="0.25">
      <c r="A12" s="1"/>
      <c r="B12" s="23" t="s">
        <v>39</v>
      </c>
      <c r="C12" s="24"/>
      <c r="D12" s="24"/>
      <c r="E12" s="24"/>
      <c r="F12" s="24"/>
      <c r="G12" s="25">
        <f>SUM(G7:G11)</f>
        <v>1200000</v>
      </c>
      <c r="H12" s="26">
        <f>SUM(H8:H11)</f>
        <v>452561</v>
      </c>
      <c r="I12" s="26">
        <f>SUM(I7:I11)</f>
        <v>1652561</v>
      </c>
      <c r="J12" s="26">
        <f t="shared" ref="J12:K12" si="2">SUM(J8:J11)</f>
        <v>522880</v>
      </c>
      <c r="K12" s="26">
        <f t="shared" si="2"/>
        <v>1129681</v>
      </c>
      <c r="L12" s="27"/>
      <c r="M12" s="34">
        <f>K12</f>
        <v>1129681</v>
      </c>
      <c r="N12" s="2"/>
    </row>
    <row r="13" ht="13.8" customHeight="1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</row>
    <row r="14" ht="13.8" customHeight="1" spans="1:14" x14ac:dyDescent="0.25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2"/>
      <c r="N14" s="2"/>
    </row>
    <row r="15" ht="13.8" customHeight="1" spans="1:14" x14ac:dyDescent="0.25">
      <c r="A15" s="1"/>
      <c r="B15" s="1"/>
      <c r="C15" s="1"/>
      <c r="D15" s="1"/>
      <c r="E15" s="1"/>
      <c r="F15" s="1"/>
      <c r="G15" s="1"/>
      <c r="H15" s="35"/>
      <c r="I15" s="1"/>
      <c r="J15" s="1"/>
      <c r="K15" s="1"/>
      <c r="L15" s="1"/>
      <c r="M15" s="2"/>
      <c r="N15" s="2"/>
    </row>
  </sheetData>
  <mergeCells count="2">
    <mergeCell ref="B2:D2"/>
    <mergeCell ref="B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FormatPr defaultRowHeight="15.75" outlineLevelRow="0" outlineLevelCol="0" x14ac:dyDescent="55" defaultColWidth="12.69921875" customHeight="1"/>
  <cols>
    <col min="3" max="3" width="19.09765625" customWidth="1"/>
    <col min="12" max="12" width="20.19921875" customWidth="1"/>
    <col min="13" max="13" width="13.8984375" customWidth="1"/>
  </cols>
  <sheetData>
    <row r="1" ht="13.8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ht="15.75" customHeight="1" spans="1:14" x14ac:dyDescent="0.25">
      <c r="A2" s="3"/>
      <c r="B2" s="3" t="s">
        <v>0</v>
      </c>
      <c r="C2" s="3"/>
      <c r="D2" s="3"/>
      <c r="E2" s="3"/>
      <c r="F2" s="3"/>
      <c r="G2" s="3"/>
      <c r="H2" s="3"/>
      <c r="I2" s="5"/>
      <c r="J2" s="3"/>
      <c r="K2" s="3"/>
      <c r="L2" s="3"/>
      <c r="M2" s="2"/>
      <c r="N2" s="2"/>
    </row>
    <row r="3" ht="13.8" customHeight="1" spans="1:14" x14ac:dyDescent="0.25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2"/>
      <c r="N3" s="2"/>
    </row>
    <row r="4" ht="13.8" customHeight="1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</row>
    <row r="5" ht="13.8" customHeight="1" spans="1:14" x14ac:dyDescent="0.25">
      <c r="A5" s="1"/>
      <c r="B5" s="7" t="s">
        <v>2</v>
      </c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</row>
    <row r="6" ht="13.8" customHeight="1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</row>
    <row r="7" ht="13.8" customHeight="1" spans="1:14" x14ac:dyDescent="0.25">
      <c r="A7" s="1"/>
      <c r="B7" s="8" t="s">
        <v>63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2"/>
      <c r="N7" s="2"/>
    </row>
    <row r="8" ht="13.8" customHeight="1" spans="1:14" x14ac:dyDescent="0.25">
      <c r="A8" s="1"/>
      <c r="B8" s="8" t="s">
        <v>63</v>
      </c>
      <c r="C8" s="11" t="s">
        <v>16</v>
      </c>
      <c r="D8" s="11" t="s">
        <v>17</v>
      </c>
      <c r="E8" s="11" t="s">
        <v>18</v>
      </c>
      <c r="F8" s="11" t="s">
        <v>3</v>
      </c>
      <c r="G8" s="12">
        <v>300000</v>
      </c>
      <c r="H8" s="13">
        <f>'2026년 4월'!K8</f>
        <v>173427</v>
      </c>
      <c r="I8" s="13">
        <f>G8+H8</f>
        <v>330727</v>
      </c>
      <c r="J8" s="13">
        <v>0</v>
      </c>
      <c r="K8" s="13">
        <f>I8-J8</f>
        <v>330727</v>
      </c>
      <c r="L8" s="14"/>
      <c r="M8" s="2"/>
      <c r="N8" s="2"/>
    </row>
    <row r="9" ht="13.8" customHeight="1" spans="1:14" x14ac:dyDescent="0.25">
      <c r="A9" s="1"/>
      <c r="B9" s="8" t="s">
        <v>63</v>
      </c>
      <c r="C9" s="11" t="s">
        <v>20</v>
      </c>
      <c r="D9" s="11" t="s">
        <v>17</v>
      </c>
      <c r="E9" s="11" t="s">
        <v>18</v>
      </c>
      <c r="F9" s="11" t="s">
        <v>21</v>
      </c>
      <c r="G9" s="16">
        <v>300000</v>
      </c>
      <c r="H9" s="13">
        <f>'2026년 4월'!K9</f>
        <v>197224</v>
      </c>
      <c r="I9" s="13">
        <f>G9+H9</f>
        <v>325624</v>
      </c>
      <c r="J9" s="13"/>
      <c r="K9" s="13">
        <f>I9-J9</f>
        <v>197224</v>
      </c>
      <c r="L9" s="14"/>
      <c r="M9" s="2"/>
      <c r="N9" s="2"/>
    </row>
    <row r="10" ht="13.8" customHeight="1" spans="1:14" x14ac:dyDescent="0.25">
      <c r="A10" s="1"/>
      <c r="B10" s="8" t="s">
        <v>63</v>
      </c>
      <c r="C10" s="11" t="s">
        <v>23</v>
      </c>
      <c r="D10" s="11" t="s">
        <v>17</v>
      </c>
      <c r="E10" s="11" t="s">
        <v>18</v>
      </c>
      <c r="F10" s="11" t="s">
        <v>24</v>
      </c>
      <c r="G10" s="16">
        <v>300000</v>
      </c>
      <c r="H10" s="13">
        <f>'2026년 4월'!K10</f>
        <v>327810</v>
      </c>
      <c r="I10" s="13">
        <f>G10+H10</f>
        <v>327810</v>
      </c>
      <c r="J10" s="13"/>
      <c r="K10" s="13">
        <f>I10-J10</f>
        <v>327810</v>
      </c>
      <c r="L10" s="14"/>
      <c r="M10" s="2"/>
      <c r="N10" s="2"/>
    </row>
    <row r="11" ht="13.8" customHeight="1" spans="1:14" x14ac:dyDescent="0.25">
      <c r="A11" s="1"/>
      <c r="B11" s="8" t="s">
        <v>63</v>
      </c>
      <c r="C11" s="11" t="s">
        <v>26</v>
      </c>
      <c r="D11" s="17" t="s">
        <v>17</v>
      </c>
      <c r="E11" s="17" t="s">
        <v>18</v>
      </c>
      <c r="F11" s="17" t="s">
        <v>27</v>
      </c>
      <c r="G11" s="18">
        <v>300000</v>
      </c>
      <c r="H11" s="13">
        <f>'2026년 4월'!K11</f>
        <v>431220</v>
      </c>
      <c r="I11" s="13">
        <f>G11+H11</f>
        <v>668400</v>
      </c>
      <c r="J11" s="19"/>
      <c r="K11" s="13">
        <f>I11-J11</f>
        <v>431220</v>
      </c>
      <c r="L11" s="20"/>
      <c r="M11" s="2"/>
      <c r="N11" s="2"/>
    </row>
    <row r="12" ht="13.8" customHeight="1" spans="1:14" x14ac:dyDescent="0.25">
      <c r="A12" s="1"/>
      <c r="B12" s="23" t="s">
        <v>39</v>
      </c>
      <c r="C12" s="24"/>
      <c r="D12" s="24"/>
      <c r="E12" s="24"/>
      <c r="F12" s="24"/>
      <c r="G12" s="25">
        <f>SUM(G7:G11)</f>
        <v>1200000</v>
      </c>
      <c r="H12" s="26">
        <f>SUM(H8:H11)</f>
        <v>452561</v>
      </c>
      <c r="I12" s="26">
        <f>SUM(I7:I11)</f>
        <v>1652561</v>
      </c>
      <c r="J12" s="26">
        <f>SUM(J8:J11)</f>
        <v>522880</v>
      </c>
      <c r="K12" s="26">
        <f>SUM(K8:K11)</f>
        <v>1129681</v>
      </c>
      <c r="L12" s="27"/>
      <c r="M12" s="34">
        <f>K12</f>
        <v>1129681</v>
      </c>
      <c r="N12" s="2"/>
    </row>
    <row r="13" ht="13.8" customHeight="1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</row>
    <row r="14" ht="13.8" customHeight="1" spans="1:14" x14ac:dyDescent="0.25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2"/>
      <c r="N14" s="2"/>
    </row>
    <row r="15" ht="13.8" customHeight="1" spans="1:14" x14ac:dyDescent="0.25">
      <c r="A15" s="1"/>
      <c r="B15" s="1"/>
      <c r="C15" s="1"/>
      <c r="D15" s="1"/>
      <c r="E15" s="1"/>
      <c r="F15" s="1"/>
      <c r="G15" s="1"/>
      <c r="H15" s="35"/>
      <c r="I15" s="1"/>
      <c r="J15" s="1"/>
      <c r="K15" s="1"/>
      <c r="L15" s="1"/>
      <c r="M15" s="2"/>
      <c r="N15" s="2"/>
    </row>
  </sheetData>
  <mergeCells count="2">
    <mergeCell ref="B2:D2"/>
    <mergeCell ref="B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2025년 11월</vt:lpstr>
      <vt:lpstr>2025년 12월</vt:lpstr>
      <vt:lpstr>2026년 1월</vt:lpstr>
      <vt:lpstr>2026년 2월</vt:lpstr>
      <vt:lpstr>2026년 3월</vt:lpstr>
      <vt:lpstr>2026년 4월</vt:lpstr>
      <vt:lpstr>2026년 5월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2026-04-20T02:40:14Z</dcterms:created>
  <dcterms:modified xsi:type="dcterms:W3CDTF">2026-04-20T06:57:46Z</dcterms:modified>
</cp:coreProperties>
</file>